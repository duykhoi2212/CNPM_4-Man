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AnCNPM\Tuan7\"/>
    </mc:Choice>
  </mc:AlternateContent>
  <xr:revisionPtr revIDLastSave="0" documentId="13_ncr:1_{EF6CE0D5-B524-458C-AD00-AFEB180F3978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Phân công công việc" sheetId="1" r:id="rId1"/>
    <sheet name="Khối lượng thành viên" sheetId="2" r:id="rId2"/>
    <sheet name="Theo dõi tiến độ" sheetId="3" r:id="rId3"/>
    <sheet name="Hướng dẫ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" i="2" l="1"/>
  <c r="G7" i="2"/>
  <c r="F7" i="2"/>
  <c r="E7" i="2"/>
  <c r="D7" i="2"/>
  <c r="G6" i="2"/>
  <c r="F6" i="2"/>
  <c r="E6" i="2"/>
  <c r="D6" i="2"/>
  <c r="G5" i="2"/>
  <c r="F5" i="2"/>
  <c r="E5" i="2"/>
  <c r="D5" i="2"/>
  <c r="G4" i="2"/>
  <c r="F4" i="2"/>
  <c r="E4" i="2"/>
  <c r="H16" i="1"/>
  <c r="F16" i="1"/>
  <c r="D16" i="1"/>
  <c r="B16" i="1"/>
  <c r="H15" i="1"/>
  <c r="F15" i="1"/>
  <c r="D15" i="1"/>
  <c r="B15" i="1"/>
  <c r="H6" i="2" l="1"/>
  <c r="H5" i="2"/>
  <c r="H7" i="2"/>
  <c r="D8" i="2"/>
  <c r="E8" i="2"/>
  <c r="F8" i="2"/>
  <c r="G8" i="2"/>
  <c r="H4" i="2"/>
  <c r="H8" i="2" l="1"/>
</calcChain>
</file>

<file path=xl/sharedStrings.xml><?xml version="1.0" encoding="utf-8"?>
<sst xmlns="http://schemas.openxmlformats.org/spreadsheetml/2006/main" count="139" uniqueCount="118">
  <si>
    <t>BẢNG PHÂN CÔNG CÔNG VIỆC NHÓM</t>
  </si>
  <si>
    <t>Tên dự án:</t>
  </si>
  <si>
    <t>Sprint:</t>
  </si>
  <si>
    <t>Ngày bắt đầu:</t>
  </si>
  <si>
    <t>Trưởng nhóm:</t>
  </si>
  <si>
    <t>#</t>
  </si>
  <si>
    <t>Công việc / User Story</t>
  </si>
  <si>
    <t>Mô tả chi tiết</t>
  </si>
  <si>
    <t>Người thực hiện</t>
  </si>
  <si>
    <t>Ưu tiên</t>
  </si>
  <si>
    <t>Story Points</t>
  </si>
  <si>
    <t>Ngày bắt đầu</t>
  </si>
  <si>
    <t>Hạn hoàn thành</t>
  </si>
  <si>
    <t>Trạng thái</t>
  </si>
  <si>
    <t>Ghi chú</t>
  </si>
  <si>
    <t>📊 THỐNG KÊ NHANH</t>
  </si>
  <si>
    <t>Tổng số công việc:</t>
  </si>
  <si>
    <t>Đã hoàn thành:</t>
  </si>
  <si>
    <t>Chờ review:</t>
  </si>
  <si>
    <t>Ưu tiên cao:</t>
  </si>
  <si>
    <t>Tổng Story Points:</t>
  </si>
  <si>
    <t>Đang thực hiện:</t>
  </si>
  <si>
    <t>Bị chặn:</t>
  </si>
  <si>
    <t>Tỷ lệ hoàn thành:</t>
  </si>
  <si>
    <t>BẢNG PHÂN BỔ KHỐI LƯỢNG CÔNG VIỆC THEO THÀNH VIÊN</t>
  </si>
  <si>
    <t>Họ và tên</t>
  </si>
  <si>
    <t>Vai trò</t>
  </si>
  <si>
    <t>Số công việc</t>
  </si>
  <si>
    <t>Tổng SP</t>
  </si>
  <si>
    <t>Đang làm</t>
  </si>
  <si>
    <t>Hoàn thành</t>
  </si>
  <si>
    <t>Tỷ lệ %</t>
  </si>
  <si>
    <t>Trưởng nhóm</t>
  </si>
  <si>
    <t>Thành viên</t>
  </si>
  <si>
    <t>TỔNG CỘNG</t>
  </si>
  <si>
    <t>💡 Lưu ý: Nên phân công đều Story Points cho các thành viên (chênh lệch không quá 20%)</t>
  </si>
  <si>
    <t>BẢNG THEO DÕI TIẾN ĐỘ HÀNG NGÀY</t>
  </si>
  <si>
    <t>Ngày</t>
  </si>
  <si>
    <t>Công việc hoàn thành</t>
  </si>
  <si>
    <t>SP hoàn thành</t>
  </si>
  <si>
    <t>Tổng SP còn lại</t>
  </si>
  <si>
    <t>Ghi chú / Vấn đề</t>
  </si>
  <si>
    <t>Người báo cáo</t>
  </si>
  <si>
    <t>Giải pháp</t>
  </si>
  <si>
    <t>📖 HƯỚNG DẪN SỬ DỤNG BẢNG PHÂN CÔNG CÔNG VIỆC</t>
  </si>
  <si>
    <t>1. CÁCH ĐIỀN THÔNG TIN</t>
  </si>
  <si>
    <t>Cột Công việc / User Story:</t>
  </si>
  <si>
    <t>Ghi tên công việc hoặc User Story ngắn gọn, rõ ràng</t>
  </si>
  <si>
    <t>Cột Mô tả chi tiết:</t>
  </si>
  <si>
    <t>Mô tả cụ thể công việc cần làm, tiêu chí hoàn thành</t>
  </si>
  <si>
    <t>Cột Người thực hiện:</t>
  </si>
  <si>
    <t>Ghi đúng tên như trong sheet "Khối lượng thành viên"</t>
  </si>
  <si>
    <t>Cột Ưu tiên:</t>
  </si>
  <si>
    <t>Chọn từ dropdown: 🔴 Cao, 🟡 Trung bình, 🟢 Thấp</t>
  </si>
  <si>
    <t>Cột Story Points:</t>
  </si>
  <si>
    <t>Điểm ước tính độ phức tạp (1, 2, 3, 5, 8, 13...)</t>
  </si>
  <si>
    <t>Cột Trạng thái:</t>
  </si>
  <si>
    <t>Chọn từ dropdown và CẬP NHẬT THƯỜNG XUYÊN</t>
  </si>
  <si>
    <t>2. QUY ƯỚC STORY POINTS</t>
  </si>
  <si>
    <t>1 SP:</t>
  </si>
  <si>
    <t>Công việc rất đơn giản, làm trong 1-2 giờ</t>
  </si>
  <si>
    <t>2 SP:</t>
  </si>
  <si>
    <t>Công việc đơn giản, làm trong nửa ngày</t>
  </si>
  <si>
    <t>3 SP:</t>
  </si>
  <si>
    <t>Công việc trung bình, làm trong 1 ngày</t>
  </si>
  <si>
    <t>5 SP:</t>
  </si>
  <si>
    <t>Công việc phức tạp, làm trong 2-3 ngày</t>
  </si>
  <si>
    <t>8 SP:</t>
  </si>
  <si>
    <t>Công việc rất phức tạp, cần chia nhỏ</t>
  </si>
  <si>
    <t>13 SP:</t>
  </si>
  <si>
    <t>Công việc quá lớn, BẮT BUỘC phải chia nhỏ</t>
  </si>
  <si>
    <t>3. QUY TẮC PHÂN CÔNG</t>
  </si>
  <si>
    <t>Cân bằng:</t>
  </si>
  <si>
    <t>Mỗi thành viên nên nhận ~20-25 SP/Sprint 2 tuần</t>
  </si>
  <si>
    <t>Phải có deadline rõ ràng và người phụ trách</t>
  </si>
  <si>
    <t>Công việc bị chặn:</t>
  </si>
  <si>
    <t>Ghi rõ nguyên nhân trong cột Ghi chú</t>
  </si>
  <si>
    <t>Pair programming:</t>
  </si>
  <si>
    <t>Ghi tên cả 2 người, cách nhau bằng dấu &amp;</t>
  </si>
  <si>
    <t>4. CẬP NHẬT HÀNG NGÀY</t>
  </si>
  <si>
    <t>Daily Standup:</t>
  </si>
  <si>
    <t>Cập nhật trạng thái công việc mỗi ngày</t>
  </si>
  <si>
    <t>Sheet Tiến độ:</t>
  </si>
  <si>
    <t>Ghi lại SP hoàn thành mỗi ngày</t>
  </si>
  <si>
    <t>5. MÀU SẮC TRẠNG THÁI</t>
  </si>
  <si>
    <t>📋 Chưa bắt đầu:</t>
  </si>
  <si>
    <t>Công việc mới, chưa ai làm</t>
  </si>
  <si>
    <t>🔄 Đang làm:</t>
  </si>
  <si>
    <t>Đang trong quá trình thực hiện</t>
  </si>
  <si>
    <t>👀 Chờ review:</t>
  </si>
  <si>
    <t>Đã xong, chờ code review hoặc kiểm tra</t>
  </si>
  <si>
    <t>✅ Hoàn thành:</t>
  </si>
  <si>
    <t>Đã hoàn thành và được chấp nhận</t>
  </si>
  <si>
    <t>⚠️ Bị chặn:</t>
  </si>
  <si>
    <t>Không thể tiếp tục vì lý do nào đó</t>
  </si>
  <si>
    <t>Lê Thọ Khánh</t>
  </si>
  <si>
    <t>Phùng Văn Duy Khôi</t>
  </si>
  <si>
    <t>Nguyễn Văn Ẩn</t>
  </si>
  <si>
    <t>Trần Bá Hậu</t>
  </si>
  <si>
    <t>Tích hợp API Login/Register</t>
  </si>
  <si>
    <t>Nối API Auth, lưu Token vào LocalStorage</t>
  </si>
  <si>
    <t>🔴 Cao</t>
  </si>
  <si>
    <t>26/03/2026</t>
  </si>
  <si>
    <t>18/03/2026</t>
  </si>
  <si>
    <t>🔄 Đang làm</t>
  </si>
  <si>
    <t>Code UI Form Đặt sân</t>
  </si>
  <si>
    <t>Giao diện chọn ngày, giờ trống, tính tiền cọc</t>
  </si>
  <si>
    <t>📋 Chưa bắt đầu</t>
  </si>
  <si>
    <t>Hệ thống Đặt lịch Sân bóng 4-Man</t>
  </si>
  <si>
    <t>Code API Đặt sân &amp; Thanh toán</t>
  </si>
  <si>
    <t>Logic tạo đơn, kiểm tra trùng lịch</t>
  </si>
  <si>
    <t>Code UI Lịch sử người dùng</t>
  </si>
  <si>
    <t>Trang hiển thị danh sách các sân user đã đặt</t>
  </si>
  <si>
    <t>🟡 Trung bình</t>
  </si>
  <si>
    <t>Code UI Admin Dashboard</t>
  </si>
  <si>
    <t>Giao diện thống kê doanh thu, quản lý sân</t>
  </si>
  <si>
    <t>Nối API Đặt sân vào giao diện</t>
  </si>
  <si>
    <t>Gọi API tạo đơn, chuyển hướng khi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</si>
</sst>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8"/>
      <color rgb="FF1F4E79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E67E22"/>
      <name val="Arial"/>
      <charset val="1"/>
    </font>
    <font>
      <b/>
      <sz val="16"/>
      <color rgb="FF1F4E79"/>
      <name val="Arial"/>
      <charset val="1"/>
    </font>
    <font>
      <i/>
      <sz val="10"/>
      <color rgb="FFE67E22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6EAF8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/>
    <xf numFmtId="9" fontId="0" fillId="4" borderId="1" xfId="0" applyNumberForma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6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/>
    <xf numFmtId="0" fontId="0" fillId="0" borderId="0" xfId="0"/>
    <xf numFmtId="0" fontId="6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/>
    <xf numFmtId="14" fontId="4" fillId="4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4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zoomScale="85" zoomScaleNormal="85" workbookViewId="0">
      <selection activeCell="D13" sqref="D13"/>
    </sheetView>
  </sheetViews>
  <sheetFormatPr defaultColWidth="8.6640625" defaultRowHeight="14.4" x14ac:dyDescent="0.3"/>
  <cols>
    <col min="1" max="1" width="17.5546875" bestFit="1" customWidth="1"/>
    <col min="2" max="2" width="35" customWidth="1"/>
    <col min="3" max="3" width="42" customWidth="1"/>
    <col min="4" max="4" width="18" customWidth="1"/>
    <col min="5" max="5" width="18.21875" customWidth="1"/>
    <col min="6" max="6" width="12" customWidth="1"/>
    <col min="7" max="7" width="14" customWidth="1"/>
    <col min="8" max="8" width="21.88671875" customWidth="1"/>
    <col min="9" max="9" width="21.5546875" customWidth="1"/>
    <col min="10" max="10" width="20" customWidth="1"/>
  </cols>
  <sheetData>
    <row r="1" spans="1:10" ht="22.05" customHeight="1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3" spans="1:10" x14ac:dyDescent="0.3">
      <c r="A3" s="1" t="s">
        <v>1</v>
      </c>
      <c r="B3" s="22" t="s">
        <v>108</v>
      </c>
      <c r="C3" s="22"/>
      <c r="D3" s="2"/>
      <c r="E3" s="23" t="s">
        <v>2</v>
      </c>
      <c r="F3" s="23"/>
      <c r="G3" s="29">
        <v>2</v>
      </c>
      <c r="H3" s="24"/>
      <c r="I3" s="24"/>
      <c r="J3" s="24"/>
    </row>
    <row r="4" spans="1:10" x14ac:dyDescent="0.3">
      <c r="A4" s="1" t="s">
        <v>3</v>
      </c>
      <c r="B4" s="22" t="s">
        <v>103</v>
      </c>
      <c r="C4" s="22"/>
      <c r="D4" s="2"/>
      <c r="E4" s="23" t="s">
        <v>4</v>
      </c>
      <c r="F4" s="23"/>
      <c r="G4" t="s">
        <v>95</v>
      </c>
      <c r="H4" s="24"/>
      <c r="I4" s="24"/>
      <c r="J4" s="24"/>
    </row>
    <row r="6" spans="1:10" ht="27.6" x14ac:dyDescent="0.3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</row>
    <row r="7" spans="1:10" x14ac:dyDescent="0.3">
      <c r="A7" s="4">
        <v>1</v>
      </c>
      <c r="B7" t="s">
        <v>99</v>
      </c>
      <c r="C7" t="s">
        <v>100</v>
      </c>
      <c r="D7" s="5" t="s">
        <v>95</v>
      </c>
      <c r="E7" s="4" t="s">
        <v>101</v>
      </c>
      <c r="F7" s="4">
        <v>3</v>
      </c>
      <c r="G7" s="5" t="s">
        <v>103</v>
      </c>
      <c r="H7" s="5" t="s">
        <v>102</v>
      </c>
      <c r="I7" s="4" t="s">
        <v>104</v>
      </c>
      <c r="J7" s="5"/>
    </row>
    <row r="8" spans="1:10" x14ac:dyDescent="0.3">
      <c r="A8" s="6">
        <v>2</v>
      </c>
      <c r="B8" t="s">
        <v>105</v>
      </c>
      <c r="C8" t="s">
        <v>106</v>
      </c>
      <c r="D8" s="7" t="s">
        <v>98</v>
      </c>
      <c r="E8" s="6" t="s">
        <v>101</v>
      </c>
      <c r="F8" s="6">
        <v>5</v>
      </c>
      <c r="G8" s="7" t="s">
        <v>103</v>
      </c>
      <c r="H8" s="28">
        <v>46057</v>
      </c>
      <c r="I8" s="6" t="s">
        <v>104</v>
      </c>
      <c r="J8" s="7"/>
    </row>
    <row r="9" spans="1:10" ht="26.4" x14ac:dyDescent="0.3">
      <c r="A9" s="4">
        <v>3</v>
      </c>
      <c r="B9" t="s">
        <v>109</v>
      </c>
      <c r="C9" s="5" t="s">
        <v>110</v>
      </c>
      <c r="D9" s="5" t="s">
        <v>96</v>
      </c>
      <c r="E9" s="4" t="s">
        <v>101</v>
      </c>
      <c r="F9" s="4">
        <v>8</v>
      </c>
      <c r="G9" s="5"/>
      <c r="H9" s="30"/>
      <c r="I9" s="4" t="s">
        <v>107</v>
      </c>
      <c r="J9" s="5"/>
    </row>
    <row r="10" spans="1:10" x14ac:dyDescent="0.3">
      <c r="A10" s="6">
        <v>4</v>
      </c>
      <c r="B10" s="7" t="s">
        <v>111</v>
      </c>
      <c r="C10" s="7" t="s">
        <v>112</v>
      </c>
      <c r="D10" s="7" t="s">
        <v>97</v>
      </c>
      <c r="E10" s="6" t="s">
        <v>113</v>
      </c>
      <c r="F10" s="6">
        <v>5</v>
      </c>
      <c r="G10" s="7"/>
      <c r="H10" s="7"/>
      <c r="I10" s="6" t="s">
        <v>107</v>
      </c>
      <c r="J10" s="7"/>
    </row>
    <row r="11" spans="1:10" x14ac:dyDescent="0.3">
      <c r="A11" s="4">
        <v>5</v>
      </c>
      <c r="B11" s="5" t="s">
        <v>114</v>
      </c>
      <c r="C11" s="5" t="s">
        <v>115</v>
      </c>
      <c r="D11" s="5" t="s">
        <v>98</v>
      </c>
      <c r="E11" s="4" t="s">
        <v>113</v>
      </c>
      <c r="F11" s="4">
        <v>8</v>
      </c>
      <c r="G11" s="5"/>
      <c r="H11" s="5"/>
      <c r="I11" s="4" t="s">
        <v>107</v>
      </c>
      <c r="J11" s="5"/>
    </row>
    <row r="12" spans="1:10" x14ac:dyDescent="0.3">
      <c r="A12" s="6">
        <v>6</v>
      </c>
      <c r="B12" s="7" t="s">
        <v>116</v>
      </c>
      <c r="C12" s="7" t="s">
        <v>117</v>
      </c>
      <c r="D12" s="7" t="s">
        <v>97</v>
      </c>
      <c r="E12" s="6" t="s">
        <v>101</v>
      </c>
      <c r="F12" s="6">
        <v>5</v>
      </c>
      <c r="G12" s="7"/>
      <c r="H12" s="7"/>
      <c r="I12" s="6" t="s">
        <v>107</v>
      </c>
      <c r="J12" s="7"/>
    </row>
    <row r="14" spans="1:10" ht="15.6" x14ac:dyDescent="0.3">
      <c r="A14" s="20" t="s">
        <v>15</v>
      </c>
      <c r="B14" s="20"/>
      <c r="C14" s="20"/>
      <c r="D14" s="20"/>
    </row>
    <row r="15" spans="1:10" x14ac:dyDescent="0.3">
      <c r="A15" s="1" t="s">
        <v>16</v>
      </c>
      <c r="B15" s="8">
        <f>COUNTA(B7:B12)</f>
        <v>6</v>
      </c>
      <c r="C15" s="1" t="s">
        <v>17</v>
      </c>
      <c r="D15" s="8">
        <f>COUNTIF(I7:I12,"✅ Hoàn thành")</f>
        <v>0</v>
      </c>
      <c r="E15" s="1" t="s">
        <v>18</v>
      </c>
      <c r="F15" s="8">
        <f>COUNTIF(I7:I12,"👀 Chờ review")</f>
        <v>0</v>
      </c>
      <c r="G15" s="1" t="s">
        <v>19</v>
      </c>
      <c r="H15" s="8">
        <f>COUNTIF(E7:E12,"🔴 Cao")</f>
        <v>4</v>
      </c>
    </row>
    <row r="16" spans="1:10" x14ac:dyDescent="0.3">
      <c r="A16" s="1" t="s">
        <v>20</v>
      </c>
      <c r="B16" s="8">
        <f>SUM(F7:F12)</f>
        <v>34</v>
      </c>
      <c r="C16" s="1" t="s">
        <v>21</v>
      </c>
      <c r="D16" s="8">
        <f>COUNTIF(I7:I12,"🔄 Đang làm")</f>
        <v>2</v>
      </c>
      <c r="E16" s="1" t="s">
        <v>22</v>
      </c>
      <c r="F16" s="8">
        <f>COUNTIF(I7:I12,"⚠️ Bị chặn")</f>
        <v>0</v>
      </c>
      <c r="G16" s="1" t="s">
        <v>23</v>
      </c>
      <c r="H16" s="9">
        <f>IF(COUNTA(B7:B12)&gt;0,COUNTIF(I7:I12,"✅ Hoàn thành")/COUNTA(B7:B12),0)</f>
        <v>0</v>
      </c>
    </row>
  </sheetData>
  <mergeCells count="8">
    <mergeCell ref="A14:D14"/>
    <mergeCell ref="A1:J1"/>
    <mergeCell ref="B3:C3"/>
    <mergeCell ref="E3:F3"/>
    <mergeCell ref="H3:J3"/>
    <mergeCell ref="B4:C4"/>
    <mergeCell ref="E4:F4"/>
    <mergeCell ref="H4:J4"/>
  </mergeCells>
  <dataValidations count="2">
    <dataValidation type="list" allowBlank="1" error="Vui lòng chọn mức ưu tiên từ danh sách" prompt="Chọn mức ưu tiên" sqref="E7:E12" xr:uid="{00000000-0002-0000-0000-000000000000}">
      <formula1>"🔴 Cao,🟡 Trung bình,🟢 Thấp"</formula1>
      <formula2>0</formula2>
    </dataValidation>
    <dataValidation type="list" allowBlank="1" error="Vui lòng chọn trạng thái từ danh sách" prompt="Chọn trạng thái" sqref="I7:I12" xr:uid="{00000000-0002-0000-0000-000001000000}">
      <formula1>"📋 Chưa bắt đầu,🔄 Đang làm,👀 Chờ review,✅ Hoàn thành,⚠️ Bị chặn"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zoomScaleNormal="100" workbookViewId="0">
      <selection activeCell="E4" sqref="E4"/>
    </sheetView>
  </sheetViews>
  <sheetFormatPr defaultColWidth="8.6640625" defaultRowHeight="14.4" x14ac:dyDescent="0.3"/>
  <cols>
    <col min="1" max="1" width="5" customWidth="1"/>
    <col min="2" max="2" width="25" customWidth="1"/>
    <col min="3" max="3" width="20" customWidth="1"/>
    <col min="4" max="4" width="12" customWidth="1"/>
    <col min="5" max="5" width="10" customWidth="1"/>
    <col min="6" max="7" width="12" customWidth="1"/>
    <col min="8" max="8" width="10" customWidth="1"/>
  </cols>
  <sheetData>
    <row r="1" spans="1:8" ht="19.8" customHeight="1" x14ac:dyDescent="0.3">
      <c r="A1" s="25" t="s">
        <v>24</v>
      </c>
      <c r="B1" s="25"/>
      <c r="C1" s="25"/>
      <c r="D1" s="25"/>
      <c r="E1" s="25"/>
      <c r="F1" s="25"/>
      <c r="G1" s="25"/>
      <c r="H1" s="25"/>
    </row>
    <row r="3" spans="1:8" ht="27.6" x14ac:dyDescent="0.3">
      <c r="A3" s="3" t="s">
        <v>5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</row>
    <row r="4" spans="1:8" x14ac:dyDescent="0.3">
      <c r="A4" s="8">
        <v>1</v>
      </c>
      <c r="B4" s="2" t="s">
        <v>95</v>
      </c>
      <c r="C4" s="2" t="s">
        <v>32</v>
      </c>
      <c r="D4" s="8">
        <f>COUNTIF('Phân công công việc'!D7:D12,B4)</f>
        <v>1</v>
      </c>
      <c r="E4" s="8">
        <f>SUMIF('Phân công công việc'!D7:D12,B4,'Phân công công việc'!F7:F12)</f>
        <v>3</v>
      </c>
      <c r="F4" s="8">
        <f>COUNTIFS('Phân công công việc'!D7:D12,B4,'Phân công công việc'!I7:I12,"🔄 Đang làm")</f>
        <v>1</v>
      </c>
      <c r="G4" s="8">
        <f>COUNTIFS('Phân công công việc'!D7:D12,B4,'Phân công công việc'!I7:I12,"✅ Hoàn thành")</f>
        <v>0</v>
      </c>
      <c r="H4" s="9">
        <f t="shared" ref="H4:H8" si="0">IF(D4&gt;0,G4/D4,0)</f>
        <v>0</v>
      </c>
    </row>
    <row r="5" spans="1:8" x14ac:dyDescent="0.3">
      <c r="A5" s="10">
        <v>2</v>
      </c>
      <c r="B5" s="11" t="s">
        <v>97</v>
      </c>
      <c r="C5" s="11" t="s">
        <v>33</v>
      </c>
      <c r="D5" s="10">
        <f>COUNTIF('Phân công công việc'!D7:D12,B5)</f>
        <v>2</v>
      </c>
      <c r="E5" s="10">
        <f>SUMIF('Phân công công việc'!D7:D12,B5,'Phân công công việc'!F7:F12)</f>
        <v>10</v>
      </c>
      <c r="F5" s="10">
        <f>COUNTIFS('Phân công công việc'!D7:D12,B5,'Phân công công việc'!I7:I12,"🔄 Đang làm")</f>
        <v>0</v>
      </c>
      <c r="G5" s="10">
        <f>COUNTIFS('Phân công công việc'!D7:D12,B5,'Phân công công việc'!I7:I12,"✅ Hoàn thành")</f>
        <v>0</v>
      </c>
      <c r="H5" s="12">
        <f t="shared" si="0"/>
        <v>0</v>
      </c>
    </row>
    <row r="6" spans="1:8" x14ac:dyDescent="0.3">
      <c r="A6" s="8">
        <v>3</v>
      </c>
      <c r="B6" s="2" t="s">
        <v>98</v>
      </c>
      <c r="C6" s="2" t="s">
        <v>33</v>
      </c>
      <c r="D6" s="8">
        <f>COUNTIF('Phân công công việc'!D7:D12,B6)</f>
        <v>2</v>
      </c>
      <c r="E6" s="8">
        <f>SUMIF('Phân công công việc'!D7:D12,B6,'Phân công công việc'!F7:F12)</f>
        <v>13</v>
      </c>
      <c r="F6" s="8">
        <f>COUNTIFS('Phân công công việc'!D7:D12,B6,'Phân công công việc'!I7:I12,"🔄 Đang làm")</f>
        <v>1</v>
      </c>
      <c r="G6" s="8">
        <f>COUNTIFS('Phân công công việc'!D7:D12,B6,'Phân công công việc'!I7:I12,"✅ Hoàn thành")</f>
        <v>0</v>
      </c>
      <c r="H6" s="9">
        <f t="shared" si="0"/>
        <v>0</v>
      </c>
    </row>
    <row r="7" spans="1:8" x14ac:dyDescent="0.3">
      <c r="A7" s="10">
        <v>4</v>
      </c>
      <c r="B7" s="11" t="s">
        <v>96</v>
      </c>
      <c r="C7" s="11" t="s">
        <v>33</v>
      </c>
      <c r="D7" s="10">
        <f>COUNTIF('Phân công công việc'!D7:D12,B7)</f>
        <v>1</v>
      </c>
      <c r="E7" s="10">
        <f>SUMIF('Phân công công việc'!D7:D12,B7,'Phân công công việc'!F7:F12)</f>
        <v>8</v>
      </c>
      <c r="F7" s="10">
        <f>COUNTIFS('Phân công công việc'!D7:D12,B7,'Phân công công việc'!I7:I12,"🔄 Đang làm")</f>
        <v>0</v>
      </c>
      <c r="G7" s="10">
        <f>COUNTIFS('Phân công công việc'!D7:D12,B7,'Phân công công việc'!I7:I12,"✅ Hoàn thành")</f>
        <v>0</v>
      </c>
      <c r="H7" s="12">
        <f t="shared" si="0"/>
        <v>0</v>
      </c>
    </row>
    <row r="8" spans="1:8" ht="15" customHeight="1" x14ac:dyDescent="0.3">
      <c r="A8" s="26" t="s">
        <v>34</v>
      </c>
      <c r="B8" s="26"/>
      <c r="C8" s="26"/>
      <c r="D8" s="13">
        <f>SUM(D4:D7)</f>
        <v>6</v>
      </c>
      <c r="E8" s="13">
        <f>SUM(E4:E7)</f>
        <v>34</v>
      </c>
      <c r="F8" s="13">
        <f>SUM(F4:F7)</f>
        <v>2</v>
      </c>
      <c r="G8" s="13">
        <f>SUM(G4:G7)</f>
        <v>0</v>
      </c>
      <c r="H8" s="14">
        <f t="shared" si="0"/>
        <v>0</v>
      </c>
    </row>
    <row r="10" spans="1:8" x14ac:dyDescent="0.3">
      <c r="A10" s="27" t="s">
        <v>35</v>
      </c>
      <c r="B10" s="27"/>
      <c r="C10" s="27"/>
      <c r="D10" s="27"/>
      <c r="E10" s="27"/>
      <c r="F10" s="27"/>
      <c r="G10" s="27"/>
      <c r="H10" s="27"/>
    </row>
  </sheetData>
  <mergeCells count="3">
    <mergeCell ref="A1:H1"/>
    <mergeCell ref="A8:C8"/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zoomScaleNormal="100" workbookViewId="0">
      <selection activeCell="G5" sqref="G5"/>
    </sheetView>
  </sheetViews>
  <sheetFormatPr defaultColWidth="8.6640625" defaultRowHeight="14.4" x14ac:dyDescent="0.3"/>
  <cols>
    <col min="1" max="1" width="12" customWidth="1"/>
    <col min="2" max="2" width="30" customWidth="1"/>
    <col min="3" max="3" width="12" customWidth="1"/>
    <col min="4" max="4" width="14" customWidth="1"/>
    <col min="5" max="5" width="25" customWidth="1"/>
    <col min="6" max="6" width="15" customWidth="1"/>
    <col min="7" max="7" width="25" customWidth="1"/>
  </cols>
  <sheetData>
    <row r="1" spans="1:7" ht="19.8" customHeight="1" x14ac:dyDescent="0.3">
      <c r="A1" s="25" t="s">
        <v>36</v>
      </c>
      <c r="B1" s="25"/>
      <c r="C1" s="25"/>
      <c r="D1" s="25"/>
      <c r="E1" s="25"/>
      <c r="F1" s="25"/>
      <c r="G1" s="25"/>
    </row>
    <row r="3" spans="1:7" ht="27.6" x14ac:dyDescent="0.3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</row>
    <row r="4" spans="1:7" x14ac:dyDescent="0.3">
      <c r="A4" s="8"/>
      <c r="B4" s="15"/>
      <c r="C4" s="8"/>
      <c r="D4" s="8"/>
      <c r="E4" s="15"/>
      <c r="F4" s="15"/>
      <c r="G4" s="15"/>
    </row>
    <row r="5" spans="1:7" x14ac:dyDescent="0.3">
      <c r="A5" s="10"/>
      <c r="B5" s="16"/>
      <c r="C5" s="10"/>
      <c r="D5" s="10"/>
      <c r="E5" s="16"/>
      <c r="F5" s="16"/>
      <c r="G5" s="16"/>
    </row>
    <row r="6" spans="1:7" x14ac:dyDescent="0.3">
      <c r="A6" s="8"/>
      <c r="B6" s="15"/>
      <c r="C6" s="8"/>
      <c r="D6" s="8"/>
      <c r="E6" s="15"/>
      <c r="F6" s="15"/>
      <c r="G6" s="15"/>
    </row>
    <row r="7" spans="1:7" x14ac:dyDescent="0.3">
      <c r="A7" s="10"/>
      <c r="B7" s="16"/>
      <c r="C7" s="10"/>
      <c r="D7" s="10"/>
      <c r="E7" s="16"/>
      <c r="F7" s="16"/>
      <c r="G7" s="16"/>
    </row>
    <row r="8" spans="1:7" x14ac:dyDescent="0.3">
      <c r="A8" s="8"/>
      <c r="B8" s="15"/>
      <c r="C8" s="8"/>
      <c r="D8" s="8"/>
      <c r="E8" s="15"/>
      <c r="F8" s="15"/>
      <c r="G8" s="15"/>
    </row>
    <row r="9" spans="1:7" x14ac:dyDescent="0.3">
      <c r="A9" s="10"/>
      <c r="B9" s="16"/>
      <c r="C9" s="10"/>
      <c r="D9" s="10"/>
      <c r="E9" s="16"/>
      <c r="F9" s="16"/>
      <c r="G9" s="16"/>
    </row>
    <row r="10" spans="1:7" x14ac:dyDescent="0.3">
      <c r="A10" s="8"/>
      <c r="B10" s="15"/>
      <c r="C10" s="8"/>
      <c r="D10" s="8"/>
      <c r="E10" s="15"/>
      <c r="F10" s="15"/>
      <c r="G10" s="15"/>
    </row>
    <row r="11" spans="1:7" x14ac:dyDescent="0.3">
      <c r="A11" s="10"/>
      <c r="B11" s="16"/>
      <c r="C11" s="10"/>
      <c r="D11" s="10"/>
      <c r="E11" s="16"/>
      <c r="F11" s="16"/>
      <c r="G11" s="16"/>
    </row>
    <row r="12" spans="1:7" x14ac:dyDescent="0.3">
      <c r="A12" s="8"/>
      <c r="B12" s="15"/>
      <c r="C12" s="8"/>
      <c r="D12" s="8"/>
      <c r="E12" s="15"/>
      <c r="F12" s="15"/>
      <c r="G12" s="15"/>
    </row>
    <row r="13" spans="1:7" x14ac:dyDescent="0.3">
      <c r="A13" s="10"/>
      <c r="B13" s="16"/>
      <c r="C13" s="10"/>
      <c r="D13" s="10"/>
      <c r="E13" s="16"/>
      <c r="F13" s="16"/>
      <c r="G13" s="16"/>
    </row>
    <row r="14" spans="1:7" x14ac:dyDescent="0.3">
      <c r="A14" s="8"/>
      <c r="B14" s="15"/>
      <c r="C14" s="8"/>
      <c r="D14" s="8"/>
      <c r="E14" s="15"/>
      <c r="F14" s="15"/>
      <c r="G14" s="15"/>
    </row>
    <row r="15" spans="1:7" x14ac:dyDescent="0.3">
      <c r="A15" s="10"/>
      <c r="B15" s="16"/>
      <c r="C15" s="10"/>
      <c r="D15" s="10"/>
      <c r="E15" s="16"/>
      <c r="F15" s="16"/>
      <c r="G15" s="16"/>
    </row>
    <row r="16" spans="1:7" x14ac:dyDescent="0.3">
      <c r="A16" s="8"/>
      <c r="B16" s="15"/>
      <c r="C16" s="8"/>
      <c r="D16" s="8"/>
      <c r="E16" s="15"/>
      <c r="F16" s="15"/>
      <c r="G16" s="15"/>
    </row>
    <row r="17" spans="1:7" x14ac:dyDescent="0.3">
      <c r="A17" s="10"/>
      <c r="B17" s="16"/>
      <c r="C17" s="10"/>
      <c r="D17" s="10"/>
      <c r="E17" s="16"/>
      <c r="F17" s="16"/>
      <c r="G17" s="16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"/>
  <sheetViews>
    <sheetView zoomScaleNormal="100" workbookViewId="0">
      <selection activeCell="B10" sqref="B10"/>
    </sheetView>
  </sheetViews>
  <sheetFormatPr defaultColWidth="8.6640625" defaultRowHeight="14.4" x14ac:dyDescent="0.3"/>
  <cols>
    <col min="1" max="1" width="30" customWidth="1"/>
    <col min="2" max="2" width="60" customWidth="1"/>
  </cols>
  <sheetData>
    <row r="1" spans="1:5" ht="21" x14ac:dyDescent="0.4">
      <c r="A1" s="19" t="s">
        <v>44</v>
      </c>
      <c r="B1" s="19"/>
      <c r="C1" s="19"/>
      <c r="D1" s="19"/>
      <c r="E1" s="19"/>
    </row>
    <row r="3" spans="1:5" x14ac:dyDescent="0.3">
      <c r="A3" s="17"/>
      <c r="B3" s="17"/>
    </row>
    <row r="4" spans="1:5" x14ac:dyDescent="0.3">
      <c r="A4" s="18" t="s">
        <v>45</v>
      </c>
      <c r="B4" s="17"/>
    </row>
    <row r="5" spans="1:5" x14ac:dyDescent="0.3">
      <c r="A5" s="17"/>
      <c r="B5" s="17"/>
    </row>
    <row r="6" spans="1:5" x14ac:dyDescent="0.3">
      <c r="A6" s="17" t="s">
        <v>46</v>
      </c>
      <c r="B6" s="17" t="s">
        <v>47</v>
      </c>
    </row>
    <row r="7" spans="1:5" x14ac:dyDescent="0.3">
      <c r="A7" s="17" t="s">
        <v>48</v>
      </c>
      <c r="B7" s="17" t="s">
        <v>49</v>
      </c>
    </row>
    <row r="8" spans="1:5" x14ac:dyDescent="0.3">
      <c r="A8" s="17" t="s">
        <v>50</v>
      </c>
      <c r="B8" s="17" t="s">
        <v>51</v>
      </c>
    </row>
    <row r="9" spans="1:5" x14ac:dyDescent="0.3">
      <c r="A9" s="17" t="s">
        <v>52</v>
      </c>
      <c r="B9" s="17" t="s">
        <v>53</v>
      </c>
    </row>
    <row r="10" spans="1:5" x14ac:dyDescent="0.3">
      <c r="A10" s="17" t="s">
        <v>54</v>
      </c>
      <c r="B10" s="17" t="s">
        <v>55</v>
      </c>
    </row>
    <row r="11" spans="1:5" x14ac:dyDescent="0.3">
      <c r="A11" s="17" t="s">
        <v>56</v>
      </c>
      <c r="B11" s="17" t="s">
        <v>57</v>
      </c>
    </row>
    <row r="12" spans="1:5" x14ac:dyDescent="0.3">
      <c r="A12" s="17"/>
      <c r="B12" s="17"/>
    </row>
    <row r="13" spans="1:5" x14ac:dyDescent="0.3">
      <c r="A13" s="18" t="s">
        <v>58</v>
      </c>
      <c r="B13" s="17"/>
    </row>
    <row r="14" spans="1:5" x14ac:dyDescent="0.3">
      <c r="A14" s="17"/>
      <c r="B14" s="17"/>
    </row>
    <row r="15" spans="1:5" x14ac:dyDescent="0.3">
      <c r="A15" s="17" t="s">
        <v>59</v>
      </c>
      <c r="B15" s="17" t="s">
        <v>60</v>
      </c>
    </row>
    <row r="16" spans="1:5" x14ac:dyDescent="0.3">
      <c r="A16" s="17" t="s">
        <v>61</v>
      </c>
      <c r="B16" s="17" t="s">
        <v>62</v>
      </c>
    </row>
    <row r="17" spans="1:2" x14ac:dyDescent="0.3">
      <c r="A17" s="17" t="s">
        <v>63</v>
      </c>
      <c r="B17" s="17" t="s">
        <v>64</v>
      </c>
    </row>
    <row r="18" spans="1:2" x14ac:dyDescent="0.3">
      <c r="A18" s="17" t="s">
        <v>65</v>
      </c>
      <c r="B18" s="17" t="s">
        <v>66</v>
      </c>
    </row>
    <row r="19" spans="1:2" x14ac:dyDescent="0.3">
      <c r="A19" s="17" t="s">
        <v>67</v>
      </c>
      <c r="B19" s="17" t="s">
        <v>68</v>
      </c>
    </row>
    <row r="20" spans="1:2" x14ac:dyDescent="0.3">
      <c r="A20" s="17" t="s">
        <v>69</v>
      </c>
      <c r="B20" s="17" t="s">
        <v>70</v>
      </c>
    </row>
    <row r="21" spans="1:2" x14ac:dyDescent="0.3">
      <c r="A21" s="17"/>
      <c r="B21" s="17"/>
    </row>
    <row r="22" spans="1:2" x14ac:dyDescent="0.3">
      <c r="A22" s="18" t="s">
        <v>71</v>
      </c>
      <c r="B22" s="17"/>
    </row>
    <row r="23" spans="1:2" x14ac:dyDescent="0.3">
      <c r="A23" s="17"/>
      <c r="B23" s="17"/>
    </row>
    <row r="24" spans="1:2" x14ac:dyDescent="0.3">
      <c r="A24" s="17" t="s">
        <v>72</v>
      </c>
      <c r="B24" s="17" t="s">
        <v>73</v>
      </c>
    </row>
    <row r="25" spans="1:2" x14ac:dyDescent="0.3">
      <c r="A25" s="17" t="s">
        <v>19</v>
      </c>
      <c r="B25" s="17" t="s">
        <v>74</v>
      </c>
    </row>
    <row r="26" spans="1:2" x14ac:dyDescent="0.3">
      <c r="A26" s="17" t="s">
        <v>75</v>
      </c>
      <c r="B26" s="17" t="s">
        <v>76</v>
      </c>
    </row>
    <row r="27" spans="1:2" x14ac:dyDescent="0.3">
      <c r="A27" s="17" t="s">
        <v>77</v>
      </c>
      <c r="B27" s="17" t="s">
        <v>78</v>
      </c>
    </row>
    <row r="28" spans="1:2" x14ac:dyDescent="0.3">
      <c r="A28" s="17"/>
      <c r="B28" s="17"/>
    </row>
    <row r="29" spans="1:2" x14ac:dyDescent="0.3">
      <c r="A29" s="18" t="s">
        <v>79</v>
      </c>
      <c r="B29" s="17"/>
    </row>
    <row r="30" spans="1:2" x14ac:dyDescent="0.3">
      <c r="A30" s="17"/>
      <c r="B30" s="17"/>
    </row>
    <row r="31" spans="1:2" x14ac:dyDescent="0.3">
      <c r="A31" s="17" t="s">
        <v>80</v>
      </c>
      <c r="B31" s="17" t="s">
        <v>81</v>
      </c>
    </row>
    <row r="32" spans="1:2" x14ac:dyDescent="0.3">
      <c r="A32" s="17" t="s">
        <v>82</v>
      </c>
      <c r="B32" s="17" t="s">
        <v>83</v>
      </c>
    </row>
    <row r="33" spans="1:2" x14ac:dyDescent="0.3">
      <c r="A33" s="17"/>
      <c r="B33" s="17"/>
    </row>
    <row r="34" spans="1:2" x14ac:dyDescent="0.3">
      <c r="A34" s="18" t="s">
        <v>84</v>
      </c>
      <c r="B34" s="17"/>
    </row>
    <row r="35" spans="1:2" x14ac:dyDescent="0.3">
      <c r="A35" s="17"/>
      <c r="B35" s="17"/>
    </row>
    <row r="36" spans="1:2" x14ac:dyDescent="0.3">
      <c r="A36" s="17" t="s">
        <v>85</v>
      </c>
      <c r="B36" s="17" t="s">
        <v>86</v>
      </c>
    </row>
    <row r="37" spans="1:2" x14ac:dyDescent="0.3">
      <c r="A37" s="17" t="s">
        <v>87</v>
      </c>
      <c r="B37" s="17" t="s">
        <v>88</v>
      </c>
    </row>
    <row r="38" spans="1:2" x14ac:dyDescent="0.3">
      <c r="A38" s="17" t="s">
        <v>89</v>
      </c>
      <c r="B38" s="17" t="s">
        <v>90</v>
      </c>
    </row>
    <row r="39" spans="1:2" x14ac:dyDescent="0.3">
      <c r="A39" s="17" t="s">
        <v>91</v>
      </c>
      <c r="B39" s="17" t="s">
        <v>92</v>
      </c>
    </row>
    <row r="40" spans="1:2" x14ac:dyDescent="0.3">
      <c r="A40" s="17" t="s">
        <v>93</v>
      </c>
      <c r="B40" s="17" t="s">
        <v>94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Phân công công việc</vt:lpstr>
      <vt:lpstr>Khối lượng thành viên</vt:lpstr>
      <vt:lpstr>Theo dõi tiến độ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Thọ Khánh</cp:lastModifiedBy>
  <cp:revision>0</cp:revision>
  <dcterms:created xsi:type="dcterms:W3CDTF">2026-03-17T00:45:25Z</dcterms:created>
  <dcterms:modified xsi:type="dcterms:W3CDTF">2026-03-24T03:18:11Z</dcterms:modified>
  <dc:language>en-US</dc:language>
</cp:coreProperties>
</file>